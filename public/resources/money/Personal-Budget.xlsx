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5" yWindow="1680" windowWidth="27765" windowHeight="15285" tabRatio="500" firstSheet="0" activeTab="0" autoFilterDateGrouping="1"/>
  </bookViews>
  <sheets>
    <sheet xmlns:r="http://schemas.openxmlformats.org/officeDocument/2006/relationships" name="Sheet1" sheetId="1" state="visible" r:id="rId1"/>
  </sheets>
  <definedNames/>
  <calcPr calcId="179021" fullCalcOnLoad="1" concurrentCalc="0"/>
</workbook>
</file>

<file path=xl/styles.xml><?xml version="1.0" encoding="utf-8"?>
<styleSheet xmlns="http://schemas.openxmlformats.org/spreadsheetml/2006/main">
  <numFmts count="1">
    <numFmt numFmtId="164" formatCode="[$$-409]#,##0.00;[Red]\-[$$-409]#,##0.00"/>
  </numFmts>
  <fonts count="13">
    <font>
      <name val="Calibri"/>
      <family val="2"/>
      <color theme="1"/>
      <sz val="12"/>
      <scheme val="minor"/>
    </font>
    <font>
      <name val="Arial"/>
      <family val="2"/>
      <sz val="15"/>
    </font>
    <font>
      <name val="Arial"/>
      <charset val="1"/>
      <family val="2"/>
      <b val="1"/>
      <sz val="11"/>
    </font>
    <font>
      <name val="Arial"/>
      <family val="2"/>
      <sz val="11"/>
    </font>
    <font>
      <name val="Arial"/>
      <family val="2"/>
      <b val="1"/>
      <color indexed="8"/>
      <sz val="11"/>
    </font>
    <font>
      <name val="Arial"/>
      <family val="2"/>
      <i val="1"/>
      <sz val="11"/>
    </font>
    <font>
      <name val="Arial"/>
      <family val="2"/>
      <color indexed="8"/>
      <sz val="11"/>
    </font>
    <font>
      <name val="Arial"/>
      <charset val="1"/>
      <family val="2"/>
      <b val="1"/>
      <color theme="0"/>
      <sz val="15"/>
    </font>
    <font>
      <name val="Source Sans Pro"/>
      <color rgb="FF000000"/>
      <sz val="10"/>
    </font>
    <font>
      <b val="1"/>
      <color rgb="00C9A84C"/>
      <sz val="9"/>
    </font>
    <font>
      <sz val="9"/>
    </font>
    <font>
      <b val="1"/>
      <color rgb="00C9A84C"/>
      <sz val="8"/>
    </font>
    <font>
      <i val="1"/>
      <color rgb="0064748B"/>
      <sz val="7"/>
    </font>
  </fonts>
  <fills count="12">
    <fill>
      <patternFill/>
    </fill>
    <fill>
      <patternFill patternType="gray125"/>
    </fill>
    <fill>
      <patternFill patternType="solid">
        <fgColor indexed="43"/>
        <bgColor indexed="26"/>
      </patternFill>
    </fill>
    <fill>
      <patternFill patternType="solid">
        <fgColor indexed="55"/>
        <bgColor indexed="50"/>
      </patternFill>
    </fill>
    <fill>
      <patternFill patternType="solid">
        <fgColor rgb="FFC00000"/>
        <bgColor indexed="64"/>
      </patternFill>
    </fill>
    <fill>
      <patternFill patternType="solid">
        <fgColor rgb="FFC00000"/>
        <bgColor indexed="26"/>
      </patternFill>
    </fill>
    <fill>
      <patternFill patternType="solid">
        <fgColor theme="0" tint="-0.499984740745262"/>
        <bgColor indexed="64"/>
      </patternFill>
    </fill>
    <fill>
      <patternFill patternType="solid">
        <fgColor theme="9" tint="0.3999755851924192"/>
        <bgColor indexed="26"/>
      </patternFill>
    </fill>
    <fill>
      <patternFill patternType="solid">
        <fgColor theme="9" tint="0.3999755851924192"/>
        <bgColor indexed="64"/>
      </patternFill>
    </fill>
    <fill>
      <patternFill patternType="solid">
        <fgColor rgb="00111827"/>
      </patternFill>
    </fill>
    <fill>
      <patternFill patternType="solid">
        <fgColor rgb="000A0E17"/>
      </patternFill>
    </fill>
    <fill>
      <patternFill patternType="solid">
        <fgColor rgb="00080B14"/>
      </patternFill>
    </fill>
  </fills>
  <borders count="12">
    <border>
      <left/>
      <right/>
      <top/>
      <bottom/>
      <diagonal/>
    </border>
    <border>
      <left/>
      <right style="hair">
        <color indexed="9"/>
      </right>
      <top/>
      <bottom/>
      <diagonal/>
    </border>
    <border>
      <left style="hair">
        <color indexed="9"/>
      </left>
      <right style="medium">
        <color indexed="8"/>
      </right>
      <top/>
      <bottom/>
      <diagonal/>
    </border>
    <border>
      <left style="hair">
        <color indexed="9"/>
      </left>
      <right/>
      <top/>
      <bottom/>
      <diagonal/>
    </border>
    <border>
      <left/>
      <right style="medium">
        <color indexed="8"/>
      </right>
      <top/>
      <bottom style="medium">
        <color indexed="8"/>
      </bottom>
      <diagonal/>
    </border>
    <border>
      <left/>
      <right/>
      <top/>
      <bottom style="medium">
        <color indexed="8"/>
      </bottom>
      <diagonal/>
    </border>
    <border>
      <left style="hair">
        <color indexed="9"/>
      </left>
      <right style="thin">
        <color auto="1"/>
      </right>
      <top/>
      <bottom/>
      <diagonal/>
    </border>
    <border>
      <left style="hair">
        <color indexed="9"/>
      </left>
      <right/>
      <top style="medium">
        <color indexed="8"/>
      </top>
      <bottom/>
      <diagonal/>
    </border>
    <border>
      <left/>
      <right/>
      <top style="medium">
        <color indexed="8"/>
      </top>
      <bottom/>
      <diagonal/>
    </border>
    <border>
      <left/>
      <right/>
      <top/>
      <bottom style="double">
        <color indexed="8"/>
      </bottom>
      <diagonal/>
    </border>
    <border>
      <left/>
      <right style="medium">
        <color indexed="8"/>
      </right>
      <top/>
      <bottom/>
      <diagonal/>
    </border>
    <border>
      <bottom style="thin">
        <color rgb="001F2937"/>
      </bottom>
    </border>
  </borders>
  <cellStyleXfs count="1">
    <xf numFmtId="0" fontId="0" fillId="0" borderId="0"/>
  </cellStyleXfs>
  <cellXfs count="77">
    <xf numFmtId="0" fontId="0" fillId="0" borderId="0" pivotButton="0" quotePrefix="0" xfId="0"/>
    <xf numFmtId="0" fontId="1" fillId="0" borderId="0" pivotButton="0" quotePrefix="0" xfId="0"/>
    <xf numFmtId="0" fontId="3" fillId="0" borderId="0" pivotButton="0" quotePrefix="0" xfId="0"/>
    <xf numFmtId="0" fontId="2" fillId="0" borderId="1" pivotButton="0" quotePrefix="0" xfId="0"/>
    <xf numFmtId="0" fontId="2" fillId="0" borderId="2" applyAlignment="1" pivotButton="0" quotePrefix="0" xfId="0">
      <alignment horizontal="right"/>
    </xf>
    <xf numFmtId="0" fontId="3" fillId="3" borderId="0" pivotButton="0" quotePrefix="0" xfId="0"/>
    <xf numFmtId="0" fontId="5" fillId="3" borderId="0" pivotButton="0" quotePrefix="0" xfId="0"/>
    <xf numFmtId="0" fontId="3" fillId="0" borderId="2" pivotButton="0" quotePrefix="0" xfId="0"/>
    <xf numFmtId="164" fontId="3" fillId="0" borderId="0" pivotButton="0" quotePrefix="0" xfId="0"/>
    <xf numFmtId="0" fontId="2" fillId="3" borderId="0" pivotButton="0" quotePrefix="0" xfId="0"/>
    <xf numFmtId="0" fontId="0" fillId="0" borderId="6" pivotButton="0" quotePrefix="0" xfId="0"/>
    <xf numFmtId="0" fontId="0" fillId="0" borderId="6" pivotButton="0" quotePrefix="0" xfId="0"/>
    <xf numFmtId="0" fontId="3" fillId="0" borderId="6" pivotButton="0" quotePrefix="0" xfId="0"/>
    <xf numFmtId="0" fontId="3" fillId="0" borderId="3" pivotButton="0" quotePrefix="0" xfId="0"/>
    <xf numFmtId="0" fontId="3" fillId="0" borderId="7" pivotButton="0" quotePrefix="0" xfId="0"/>
    <xf numFmtId="0" fontId="3" fillId="0" borderId="8" pivotButton="0" quotePrefix="0" xfId="0"/>
    <xf numFmtId="164" fontId="3" fillId="0" borderId="9" pivotButton="0" quotePrefix="0" xfId="0"/>
    <xf numFmtId="0" fontId="5" fillId="0" borderId="0" pivotButton="0" quotePrefix="0" xfId="0"/>
    <xf numFmtId="0" fontId="5" fillId="0" borderId="0" pivotButton="0" quotePrefix="0" xfId="0"/>
    <xf numFmtId="164" fontId="3" fillId="0" borderId="5" pivotButton="0" quotePrefix="0" xfId="0"/>
    <xf numFmtId="0" fontId="5" fillId="0" borderId="8" pivotButton="0" quotePrefix="0" xfId="0"/>
    <xf numFmtId="0" fontId="3" fillId="0" borderId="0" pivotButton="0" quotePrefix="0" xfId="0"/>
    <xf numFmtId="0" fontId="5" fillId="6" borderId="0" pivotButton="0" quotePrefix="0" xfId="0"/>
    <xf numFmtId="16" fontId="0" fillId="0" borderId="0" pivotButton="0" quotePrefix="0" xfId="0"/>
    <xf numFmtId="0" fontId="0" fillId="0" borderId="0" pivotButton="0" quotePrefix="0" xfId="0"/>
    <xf numFmtId="0" fontId="3" fillId="0" borderId="0" pivotButton="0" quotePrefix="0" xfId="0"/>
    <xf numFmtId="0" fontId="4" fillId="7" borderId="3" applyAlignment="1" pivotButton="0" quotePrefix="0" xfId="0">
      <alignment horizontal="center" wrapText="1"/>
    </xf>
    <xf numFmtId="0" fontId="6" fillId="7" borderId="3" pivotButton="0" quotePrefix="0" xfId="0"/>
    <xf numFmtId="0" fontId="6" fillId="7" borderId="0" pivotButton="0" quotePrefix="0" xfId="0"/>
    <xf numFmtId="0" fontId="6" fillId="7" borderId="0" pivotButton="0" quotePrefix="0" xfId="0"/>
    <xf numFmtId="164" fontId="5" fillId="8" borderId="0" pivotButton="0" quotePrefix="0" xfId="0"/>
    <xf numFmtId="0" fontId="5" fillId="8" borderId="0" pivotButton="0" quotePrefix="0" xfId="0"/>
    <xf numFmtId="164" fontId="5" fillId="7" borderId="0" pivotButton="0" quotePrefix="0" xfId="0"/>
    <xf numFmtId="0" fontId="5" fillId="7" borderId="0" pivotButton="0" quotePrefix="0" xfId="0"/>
    <xf numFmtId="164" fontId="3" fillId="7" borderId="5" pivotButton="0" quotePrefix="0" xfId="0"/>
    <xf numFmtId="164" fontId="3" fillId="2" borderId="5" pivotButton="0" quotePrefix="0" xfId="0"/>
    <xf numFmtId="0" fontId="2" fillId="0" borderId="1" pivotButton="0" quotePrefix="0" xfId="0"/>
    <xf numFmtId="0" fontId="8" fillId="0" borderId="0" applyAlignment="1" pivotButton="0" quotePrefix="0" xfId="0">
      <alignment horizontal="center" vertical="center" wrapText="1"/>
    </xf>
    <xf numFmtId="0" fontId="7" fillId="4" borderId="0" applyAlignment="1" pivotButton="0" quotePrefix="0" xfId="0">
      <alignment vertical="center"/>
    </xf>
    <xf numFmtId="0" fontId="2" fillId="5" borderId="0" applyAlignment="1" pivotButton="0" quotePrefix="0" xfId="0">
      <alignment wrapText="1"/>
    </xf>
    <xf numFmtId="0" fontId="4" fillId="7" borderId="3" applyAlignment="1" pivotButton="0" quotePrefix="0" xfId="0">
      <alignment horizontal="center" wrapText="1"/>
    </xf>
    <xf numFmtId="0" fontId="2" fillId="0" borderId="4" applyAlignment="1" pivotButton="0" quotePrefix="0" xfId="0">
      <alignment wrapText="1"/>
    </xf>
    <xf numFmtId="164" fontId="3" fillId="3" borderId="0" pivotButton="0" quotePrefix="0" xfId="0"/>
    <xf numFmtId="0" fontId="9" fillId="9" borderId="11" applyAlignment="1" pivotButton="0" quotePrefix="0" xfId="0">
      <alignment horizontal="left" vertical="center"/>
    </xf>
    <xf numFmtId="0" fontId="10" fillId="10" borderId="0" applyAlignment="1" pivotButton="0" quotePrefix="0" xfId="0">
      <alignment vertical="center"/>
    </xf>
    <xf numFmtId="0" fontId="10" fillId="0" borderId="1" applyAlignment="1" pivotButton="0" quotePrefix="0" xfId="0">
      <alignment vertical="center"/>
    </xf>
    <xf numFmtId="0" fontId="10" fillId="0" borderId="2" applyAlignment="1" pivotButton="0" quotePrefix="0" xfId="0">
      <alignment vertical="center"/>
    </xf>
    <xf numFmtId="0" fontId="10" fillId="7" borderId="3" applyAlignment="1" pivotButton="0" quotePrefix="0" xfId="0">
      <alignment vertical="center"/>
    </xf>
    <xf numFmtId="0" fontId="10" fillId="3" borderId="0" applyAlignment="1" pivotButton="0" quotePrefix="0" xfId="0">
      <alignment vertical="center"/>
    </xf>
    <xf numFmtId="0" fontId="10" fillId="6" borderId="0" applyAlignment="1" pivotButton="0" quotePrefix="0" xfId="0">
      <alignment vertical="center"/>
    </xf>
    <xf numFmtId="0" fontId="10" fillId="0" borderId="0" applyAlignment="1" pivotButton="0" quotePrefix="0" xfId="0">
      <alignment vertical="center"/>
    </xf>
    <xf numFmtId="0" fontId="10" fillId="10" borderId="4" applyAlignment="1" pivotButton="0" quotePrefix="0" xfId="0">
      <alignment vertical="center"/>
    </xf>
    <xf numFmtId="0" fontId="0" fillId="0" borderId="4" pivotButton="0" quotePrefix="0" xfId="0"/>
    <xf numFmtId="0" fontId="0" fillId="0" borderId="3" pivotButton="0" quotePrefix="0" xfId="0"/>
    <xf numFmtId="16" fontId="10" fillId="10" borderId="0" applyAlignment="1" pivotButton="0" quotePrefix="0" xfId="0">
      <alignment vertical="center"/>
    </xf>
    <xf numFmtId="164" fontId="10" fillId="3" borderId="0" applyAlignment="1" pivotButton="0" quotePrefix="0" xfId="0">
      <alignment vertical="center"/>
    </xf>
    <xf numFmtId="164" fontId="10" fillId="0" borderId="0" applyAlignment="1" pivotButton="0" quotePrefix="0" xfId="0">
      <alignment vertical="center"/>
    </xf>
    <xf numFmtId="0" fontId="10" fillId="10" borderId="1" applyAlignment="1" pivotButton="0" quotePrefix="0" xfId="0">
      <alignment vertical="center"/>
    </xf>
    <xf numFmtId="0" fontId="10" fillId="10" borderId="2" applyAlignment="1" pivotButton="0" quotePrefix="0" xfId="0">
      <alignment vertical="center"/>
    </xf>
    <xf numFmtId="0" fontId="10" fillId="10" borderId="3" applyAlignment="1" pivotButton="0" quotePrefix="0" xfId="0">
      <alignment vertical="center"/>
    </xf>
    <xf numFmtId="164" fontId="10" fillId="10" borderId="5" applyAlignment="1" pivotButton="0" quotePrefix="0" xfId="0">
      <alignment vertical="center"/>
    </xf>
    <xf numFmtId="0" fontId="0" fillId="0" borderId="5" pivotButton="0" quotePrefix="0" xfId="0"/>
    <xf numFmtId="164" fontId="10" fillId="8" borderId="0" applyAlignment="1" pivotButton="0" quotePrefix="0" xfId="0">
      <alignment vertical="center"/>
    </xf>
    <xf numFmtId="164" fontId="10" fillId="7" borderId="0" applyAlignment="1" pivotButton="0" quotePrefix="0" xfId="0">
      <alignment vertical="center"/>
    </xf>
    <xf numFmtId="164" fontId="10" fillId="10" borderId="0" applyAlignment="1" pivotButton="0" quotePrefix="0" xfId="0">
      <alignment vertical="center"/>
    </xf>
    <xf numFmtId="0" fontId="10" fillId="7" borderId="0" applyAlignment="1" pivotButton="0" quotePrefix="0" xfId="0">
      <alignment vertical="center"/>
    </xf>
    <xf numFmtId="0" fontId="10" fillId="8" borderId="0" applyAlignment="1" pivotButton="0" quotePrefix="0" xfId="0">
      <alignment vertical="center"/>
    </xf>
    <xf numFmtId="0" fontId="10" fillId="10" borderId="6" applyAlignment="1" pivotButton="0" quotePrefix="0" xfId="0">
      <alignment vertical="center"/>
    </xf>
    <xf numFmtId="0" fontId="10" fillId="0" borderId="6"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0" fillId="0" borderId="8" applyAlignment="1" pivotButton="0" quotePrefix="0" xfId="0">
      <alignment vertical="center"/>
    </xf>
    <xf numFmtId="0" fontId="0" fillId="0" borderId="1" pivotButton="0" quotePrefix="0" xfId="0"/>
    <xf numFmtId="164" fontId="10" fillId="10" borderId="9" applyAlignment="1" pivotButton="0" quotePrefix="0" xfId="0">
      <alignment vertical="center"/>
    </xf>
    <xf numFmtId="0" fontId="11" fillId="11" borderId="0" pivotButton="0" quotePrefix="0" xfId="0"/>
    <xf numFmtId="0" fontId="12" fillId="0" borderId="0" applyAlignment="1" pivotButton="0" quotePrefix="0" xfId="0">
      <alignment wrapText="1"/>
    </xf>
    <xf numFmtId="0" fontId="12" fillId="0" borderId="0" pivotButton="0" quotePrefix="0" xfId="0"/>
  </cellXfs>
  <cellStyles count="1">
    <cellStyle name="Normal" xfId="0" builtinId="0"/>
  </cellStyle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11</col>
      <colOff>0</colOff>
      <row>0</row>
      <rowOff>0</rowOff>
    </from>
    <ext cx="952500" cy="2381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86"/>
  <sheetViews>
    <sheetView tabSelected="1" workbookViewId="0">
      <selection activeCell="B8" sqref="B8"/>
    </sheetView>
  </sheetViews>
  <sheetFormatPr baseColWidth="8" defaultColWidth="11.375" defaultRowHeight="14.25"/>
  <cols>
    <col width="45" customWidth="1" style="25" min="1" max="1"/>
    <col width="34.875" bestFit="1" customWidth="1" style="25" min="2" max="2"/>
    <col width="13.375" customWidth="1" style="25" min="3" max="3"/>
    <col width="18.125" bestFit="1" customWidth="1" style="25" min="4" max="4"/>
    <col width="11.375" customWidth="1" style="18" min="5" max="5"/>
    <col width="16.375" customWidth="1" style="25" min="6" max="6"/>
    <col width="11.375" customWidth="1" style="25" min="7" max="7"/>
    <col width="13.625" customWidth="1" style="25" min="8" max="8"/>
    <col width="11.375" customWidth="1" style="25" min="9" max="9"/>
    <col width="16" customWidth="1" style="25" min="10" max="10"/>
    <col width="13.375" customWidth="1" style="25" min="11" max="11"/>
    <col width="4" customWidth="1" style="25" min="12" max="16384"/>
  </cols>
  <sheetData>
    <row r="1" ht="22" customFormat="1" customHeight="1" s="1">
      <c r="A1" s="43" t="inlineStr">
        <is>
          <t>MONTHLY BUDGET</t>
        </is>
      </c>
    </row>
    <row r="2" ht="18" customHeight="1" s="24">
      <c r="A2" s="44" t="inlineStr">
        <is>
          <t>Use the weekly columns to allocate funds to appropriate financial areas. Use the remaining columns to ensure all funds are allocated by the end of the week. Left over funds from previous weeks will carry over to the next week,</t>
        </is>
      </c>
      <c r="L2" s="44" t="n"/>
    </row>
    <row r="3" ht="18" customHeight="1" s="24">
      <c r="A3" s="45" t="n"/>
      <c r="B3" s="46" t="inlineStr">
        <is>
          <t>Pay Period</t>
        </is>
      </c>
      <c r="C3" s="47" t="inlineStr">
        <is>
          <t>DO NOT TOUCH</t>
        </is>
      </c>
      <c r="D3" s="48" t="inlineStr">
        <is>
          <t>FIRST WEEK</t>
        </is>
      </c>
      <c r="E3" s="49" t="inlineStr">
        <is>
          <t>REMAINING</t>
        </is>
      </c>
      <c r="F3" s="48" t="inlineStr">
        <is>
          <t>SECOND WEEK</t>
        </is>
      </c>
      <c r="G3" s="48" t="inlineStr">
        <is>
          <t>REMAINING</t>
        </is>
      </c>
      <c r="H3" s="48" t="inlineStr">
        <is>
          <t>THIRD WEEK</t>
        </is>
      </c>
      <c r="I3" s="48" t="inlineStr">
        <is>
          <t>REMAINING</t>
        </is>
      </c>
      <c r="J3" s="48" t="inlineStr">
        <is>
          <t>FOURTH WEEK</t>
        </is>
      </c>
      <c r="K3" s="48" t="inlineStr">
        <is>
          <t>REMAINING</t>
        </is>
      </c>
      <c r="L3" s="50" t="n"/>
    </row>
    <row r="4" ht="18" customHeight="1" s="24" thickBot="1">
      <c r="A4" s="51" t="inlineStr">
        <is>
          <t>Budgeted Items</t>
        </is>
      </c>
      <c r="B4" s="52" t="n"/>
      <c r="C4" s="53" t="n"/>
      <c r="D4" s="54" t="inlineStr">
        <is>
          <t>1 to 6</t>
        </is>
      </c>
      <c r="E4" s="44" t="n"/>
      <c r="F4" s="44" t="inlineStr">
        <is>
          <t xml:space="preserve">7 to 13 </t>
        </is>
      </c>
      <c r="G4" s="44" t="n"/>
      <c r="H4" s="44" t="inlineStr">
        <is>
          <t xml:space="preserve">14 to 20 </t>
        </is>
      </c>
      <c r="I4" s="44" t="n"/>
      <c r="J4" s="44" t="inlineStr">
        <is>
          <t xml:space="preserve">21 to 30 </t>
        </is>
      </c>
      <c r="K4" s="44" t="n"/>
      <c r="L4" s="44" t="n"/>
    </row>
    <row r="5" ht="18" customHeight="1" s="24">
      <c r="A5" s="45" t="inlineStr">
        <is>
          <t>INCOME</t>
        </is>
      </c>
      <c r="B5" s="46" t="n"/>
      <c r="C5" s="53" t="n"/>
      <c r="D5" s="55" t="n">
        <v>1000</v>
      </c>
      <c r="F5" s="55" t="n">
        <v>1000</v>
      </c>
      <c r="H5" s="55" t="n">
        <v>1000</v>
      </c>
      <c r="J5" s="55" t="n">
        <v>1000</v>
      </c>
      <c r="L5" s="56" t="n"/>
    </row>
    <row r="6" ht="18" customHeight="1" s="24" thickBot="1">
      <c r="A6" s="57" t="n"/>
      <c r="B6" s="58" t="inlineStr">
        <is>
          <t>Weekly Remainder</t>
        </is>
      </c>
      <c r="C6" s="59" t="n"/>
      <c r="D6" s="60" t="inlineStr">
        <is>
          <t>Opening Balance</t>
        </is>
      </c>
      <c r="E6" s="60" t="n"/>
      <c r="F6" s="60">
        <f>E78</f>
        <v/>
      </c>
      <c r="G6" s="61" t="n"/>
      <c r="H6" s="60">
        <f>G78</f>
        <v/>
      </c>
      <c r="I6" s="61" t="n"/>
      <c r="J6" s="60">
        <f>I78</f>
        <v/>
      </c>
      <c r="K6" s="61" t="n"/>
      <c r="L6" s="44" t="n"/>
    </row>
    <row r="7" ht="18" customHeight="1" s="24">
      <c r="A7" s="45" t="inlineStr">
        <is>
          <t>CHARITABLE GIFTS</t>
        </is>
      </c>
      <c r="B7" s="46" t="n"/>
      <c r="C7" s="47">
        <f>D7+F7+H7+J7</f>
        <v/>
      </c>
      <c r="D7" s="48" t="n">
        <v>0</v>
      </c>
      <c r="E7" s="62">
        <f>(D5+E6)-D7</f>
        <v/>
      </c>
      <c r="F7" s="48" t="n"/>
      <c r="G7" s="63">
        <f>F6+F5-F7</f>
        <v/>
      </c>
      <c r="H7" s="48" t="n"/>
      <c r="I7" s="63">
        <f>H6+H5-H7</f>
        <v/>
      </c>
      <c r="J7" s="48" t="n"/>
      <c r="K7" s="63">
        <f>J6+J5-J7</f>
        <v/>
      </c>
      <c r="L7" s="50" t="n"/>
    </row>
    <row r="8" ht="18" customHeight="1" s="24">
      <c r="A8" s="57" t="inlineStr">
        <is>
          <t>SAVING</t>
        </is>
      </c>
      <c r="B8" s="58" t="n"/>
      <c r="C8" s="44" t="n"/>
      <c r="D8" s="44" t="n"/>
      <c r="E8" s="44" t="n"/>
      <c r="F8" s="44" t="n"/>
      <c r="G8" s="44" t="n"/>
      <c r="H8" s="44" t="n"/>
      <c r="I8" s="44" t="n"/>
      <c r="J8" s="44" t="n"/>
      <c r="K8" s="44" t="n"/>
      <c r="L8" s="44" t="n"/>
    </row>
    <row r="9" ht="18" customHeight="1" s="24">
      <c r="A9" s="45" t="n"/>
      <c r="B9" s="46" t="inlineStr">
        <is>
          <t>EMERGENCY FUND</t>
        </is>
      </c>
      <c r="C9" s="47">
        <f>D9+F9+H9+J9</f>
        <v/>
      </c>
      <c r="D9" s="48" t="n"/>
      <c r="E9" s="62">
        <f>E7-D9</f>
        <v/>
      </c>
      <c r="F9" s="48" t="n"/>
      <c r="G9" s="63">
        <f>G7-F9</f>
        <v/>
      </c>
      <c r="H9" s="48" t="n"/>
      <c r="I9" s="63">
        <f>I7-H9</f>
        <v/>
      </c>
      <c r="J9" s="48" t="n"/>
      <c r="K9" s="63">
        <f>K7-J9</f>
        <v/>
      </c>
      <c r="L9" s="50" t="n"/>
    </row>
    <row r="10" ht="18" customHeight="1" s="24">
      <c r="A10" s="57" t="n"/>
      <c r="B10" s="58" t="inlineStr">
        <is>
          <t>EDUCATION FUND</t>
        </is>
      </c>
      <c r="C10" s="59">
        <f>D10+F10+H10+J10</f>
        <v/>
      </c>
      <c r="D10" s="44" t="n"/>
      <c r="E10" s="64">
        <f>E9-D10</f>
        <v/>
      </c>
      <c r="F10" s="44" t="n"/>
      <c r="G10" s="64">
        <f>G9-F10</f>
        <v/>
      </c>
      <c r="H10" s="44" t="n"/>
      <c r="I10" s="64">
        <f>I9-H10</f>
        <v/>
      </c>
      <c r="J10" s="44" t="n"/>
      <c r="K10" s="64">
        <f>K9-J10</f>
        <v/>
      </c>
      <c r="L10" s="44" t="n"/>
    </row>
    <row r="11" ht="18" customHeight="1" s="24">
      <c r="A11" s="45" t="n"/>
      <c r="B11" s="50" t="n"/>
      <c r="C11" s="47">
        <f>D11+F11+H11+J11</f>
        <v/>
      </c>
      <c r="D11" s="48" t="n"/>
      <c r="E11" s="62">
        <f>E10-D11</f>
        <v/>
      </c>
      <c r="F11" s="48" t="n"/>
      <c r="G11" s="63">
        <f>G10-F11</f>
        <v/>
      </c>
      <c r="H11" s="48" t="n"/>
      <c r="I11" s="63">
        <f>I10-H11</f>
        <v/>
      </c>
      <c r="J11" s="48" t="n"/>
      <c r="K11" s="63">
        <f>K10-J11</f>
        <v/>
      </c>
      <c r="L11" s="50" t="n"/>
    </row>
    <row r="12" ht="18" customHeight="1" s="24">
      <c r="A12" s="57" t="inlineStr">
        <is>
          <t>HOUSING</t>
        </is>
      </c>
      <c r="B12" s="58" t="n"/>
      <c r="C12" s="44" t="n"/>
      <c r="D12" s="44" t="n"/>
      <c r="E12" s="44" t="n"/>
      <c r="F12" s="44" t="n"/>
      <c r="G12" s="44" t="n"/>
      <c r="H12" s="44" t="n"/>
      <c r="I12" s="44" t="n"/>
      <c r="J12" s="44" t="n"/>
      <c r="K12" s="44" t="n"/>
      <c r="L12" s="44" t="n"/>
    </row>
    <row r="13" ht="18" customHeight="1" s="24">
      <c r="A13" s="45" t="n"/>
      <c r="B13" s="46" t="inlineStr">
        <is>
          <t>RENT</t>
        </is>
      </c>
      <c r="C13" s="47">
        <f>D13+F13+H13+J13</f>
        <v/>
      </c>
      <c r="D13" s="48" t="n"/>
      <c r="E13" s="62">
        <f>E11-D13</f>
        <v/>
      </c>
      <c r="F13" s="48" t="n"/>
      <c r="G13" s="63">
        <f>G11-F13</f>
        <v/>
      </c>
      <c r="H13" s="48" t="n"/>
      <c r="I13" s="63">
        <f>I11-H13</f>
        <v/>
      </c>
      <c r="J13" s="48" t="n"/>
      <c r="K13" s="63">
        <f>K11-J13</f>
        <v/>
      </c>
      <c r="L13" s="50" t="n"/>
    </row>
    <row r="14" ht="18" customHeight="1" s="24">
      <c r="A14" s="57" t="n"/>
      <c r="B14" s="58" t="inlineStr">
        <is>
          <t>REPAIRS</t>
        </is>
      </c>
      <c r="C14" s="59">
        <f>D14+F14+H14+J14</f>
        <v/>
      </c>
      <c r="D14" s="44" t="n"/>
      <c r="E14" s="64">
        <f>E13-D14</f>
        <v/>
      </c>
      <c r="F14" s="44" t="n"/>
      <c r="G14" s="64">
        <f>G13-F14</f>
        <v/>
      </c>
      <c r="H14" s="44" t="n"/>
      <c r="I14" s="64">
        <f>I13-H14</f>
        <v/>
      </c>
      <c r="J14" s="44" t="n"/>
      <c r="K14" s="64">
        <f>K13-J14</f>
        <v/>
      </c>
      <c r="L14" s="44" t="n"/>
    </row>
    <row r="15" ht="18" customHeight="1" s="24">
      <c r="A15" s="45" t="n"/>
      <c r="B15" s="46" t="inlineStr">
        <is>
          <t>FURNITURE</t>
        </is>
      </c>
      <c r="C15" s="47">
        <f>D15+F15+H15+J15</f>
        <v/>
      </c>
      <c r="D15" s="48" t="n"/>
      <c r="E15" s="62">
        <f>E14-D15</f>
        <v/>
      </c>
      <c r="F15" s="48" t="n"/>
      <c r="G15" s="63">
        <f>G14-F15</f>
        <v/>
      </c>
      <c r="H15" s="48" t="n"/>
      <c r="I15" s="63">
        <f>I14-H15</f>
        <v/>
      </c>
      <c r="J15" s="48" t="n"/>
      <c r="K15" s="63">
        <f>K14-J15</f>
        <v/>
      </c>
      <c r="L15" s="50" t="n"/>
    </row>
    <row r="16" ht="18" customHeight="1" s="24">
      <c r="A16" s="57" t="n"/>
      <c r="B16" s="58" t="inlineStr">
        <is>
          <t>HOUSE STUFF</t>
        </is>
      </c>
      <c r="C16" s="59">
        <f>D16+F16+H16+J16</f>
        <v/>
      </c>
      <c r="D16" s="44" t="n"/>
      <c r="E16" s="64">
        <f>E15-D16</f>
        <v/>
      </c>
      <c r="F16" s="44" t="n"/>
      <c r="G16" s="64">
        <f>G15-F16</f>
        <v/>
      </c>
      <c r="H16" s="44" t="n"/>
      <c r="I16" s="64">
        <f>I15-H16</f>
        <v/>
      </c>
      <c r="J16" s="44" t="n"/>
      <c r="K16" s="64">
        <f>K15-J16</f>
        <v/>
      </c>
      <c r="L16" s="44" t="n"/>
    </row>
    <row r="17" ht="18" customHeight="1" s="24">
      <c r="A17" s="45" t="n"/>
      <c r="B17" s="46" t="n"/>
      <c r="C17" s="47">
        <f>D17+F17+H17+J17</f>
        <v/>
      </c>
      <c r="D17" s="48" t="n"/>
      <c r="E17" s="62">
        <f>E16-D17</f>
        <v/>
      </c>
      <c r="F17" s="48" t="n"/>
      <c r="G17" s="63">
        <f>G16-F17</f>
        <v/>
      </c>
      <c r="H17" s="48" t="n"/>
      <c r="I17" s="63">
        <f>I16-H17</f>
        <v/>
      </c>
      <c r="J17" s="48" t="n"/>
      <c r="K17" s="63">
        <f>K16-J17</f>
        <v/>
      </c>
      <c r="L17" s="50" t="n"/>
    </row>
    <row r="18" ht="18" customHeight="1" s="24">
      <c r="A18" s="57" t="n"/>
      <c r="B18" s="58" t="n"/>
      <c r="C18" s="59">
        <f>D18+F18+H18+J18</f>
        <v/>
      </c>
      <c r="D18" s="44" t="n"/>
      <c r="E18" s="64">
        <f>E17-D18</f>
        <v/>
      </c>
      <c r="F18" s="44" t="n"/>
      <c r="G18" s="64">
        <f>G17-F18</f>
        <v/>
      </c>
      <c r="H18" s="44" t="n"/>
      <c r="I18" s="64">
        <f>I17-H18</f>
        <v/>
      </c>
      <c r="J18" s="44" t="n"/>
      <c r="K18" s="64">
        <f>K17-J18</f>
        <v/>
      </c>
      <c r="L18" s="44" t="n"/>
    </row>
    <row r="19" ht="18" customHeight="1" s="24">
      <c r="A19" s="45" t="n"/>
      <c r="B19" s="46" t="n"/>
      <c r="C19" s="47">
        <f>D19+F19+H19+J19</f>
        <v/>
      </c>
      <c r="D19" s="48" t="n"/>
      <c r="E19" s="62">
        <f>E18-D19</f>
        <v/>
      </c>
      <c r="F19" s="48" t="n"/>
      <c r="G19" s="63">
        <f>G18-F19</f>
        <v/>
      </c>
      <c r="H19" s="48" t="n"/>
      <c r="I19" s="63">
        <f>I18-H19</f>
        <v/>
      </c>
      <c r="J19" s="48" t="n"/>
      <c r="K19" s="63">
        <f>K18-J19</f>
        <v/>
      </c>
      <c r="L19" s="50" t="n"/>
    </row>
    <row r="20" ht="18" customHeight="1" s="24">
      <c r="A20" s="57" t="inlineStr">
        <is>
          <t>UTILITIES</t>
        </is>
      </c>
      <c r="B20" s="58" t="n"/>
      <c r="C20" s="44" t="n"/>
      <c r="D20" s="44" t="n"/>
      <c r="E20" s="44" t="n"/>
      <c r="F20" s="44" t="n"/>
      <c r="G20" s="44" t="n"/>
      <c r="H20" s="44" t="n"/>
      <c r="I20" s="44" t="n"/>
      <c r="J20" s="44" t="n"/>
      <c r="K20" s="44" t="n"/>
      <c r="L20" s="44" t="n"/>
    </row>
    <row r="21" ht="18" customHeight="1" s="24">
      <c r="A21" s="45" t="n"/>
      <c r="B21" s="46" t="inlineStr">
        <is>
          <t>ELECTRICITY</t>
        </is>
      </c>
      <c r="C21" s="47">
        <f>D21+F21+H21+J21</f>
        <v/>
      </c>
      <c r="D21" s="48" t="n"/>
      <c r="E21" s="62">
        <f>E19-D21</f>
        <v/>
      </c>
      <c r="F21" s="48" t="n"/>
      <c r="G21" s="63">
        <f>G19-F21</f>
        <v/>
      </c>
      <c r="H21" s="48" t="n"/>
      <c r="I21" s="63">
        <f>I19-H21</f>
        <v/>
      </c>
      <c r="J21" s="48" t="n"/>
      <c r="K21" s="63">
        <f>K19-J21</f>
        <v/>
      </c>
      <c r="L21" s="50" t="n"/>
    </row>
    <row r="22" ht="18" customHeight="1" s="24">
      <c r="A22" s="57" t="n"/>
      <c r="B22" s="58" t="inlineStr">
        <is>
          <t>INTERNET</t>
        </is>
      </c>
      <c r="C22" s="59">
        <f>D22+F22+H22+J22</f>
        <v/>
      </c>
      <c r="D22" s="44" t="n"/>
      <c r="E22" s="64">
        <f>E21-D22</f>
        <v/>
      </c>
      <c r="F22" s="44" t="n"/>
      <c r="G22" s="64">
        <f>G21-F22</f>
        <v/>
      </c>
      <c r="H22" s="44" t="n"/>
      <c r="I22" s="64">
        <f>I21-H22</f>
        <v/>
      </c>
      <c r="J22" s="44" t="n"/>
      <c r="K22" s="64">
        <f>K21-J22</f>
        <v/>
      </c>
      <c r="L22" s="44" t="n"/>
    </row>
    <row r="23" ht="18" customHeight="1" s="24">
      <c r="A23" s="45" t="n"/>
      <c r="B23" s="46" t="inlineStr">
        <is>
          <t>CELL PHONE 16th</t>
        </is>
      </c>
      <c r="C23" s="47">
        <f>D23+F23+H23+J23</f>
        <v/>
      </c>
      <c r="D23" s="48" t="n"/>
      <c r="E23" s="62">
        <f>E22-D23</f>
        <v/>
      </c>
      <c r="F23" s="48" t="n"/>
      <c r="G23" s="63">
        <f>G22-F23</f>
        <v/>
      </c>
      <c r="H23" s="48" t="n"/>
      <c r="I23" s="63">
        <f>I22-H23</f>
        <v/>
      </c>
      <c r="J23" s="48" t="n"/>
      <c r="K23" s="63">
        <f>K22-J23</f>
        <v/>
      </c>
      <c r="L23" s="50" t="n"/>
    </row>
    <row r="24" ht="18" customHeight="1" s="24">
      <c r="A24" s="57" t="n"/>
      <c r="B24" s="58" t="n"/>
      <c r="C24" s="59">
        <f>D24+F24+H24+J24</f>
        <v/>
      </c>
      <c r="D24" s="44" t="n"/>
      <c r="E24" s="64">
        <f>E23-D24</f>
        <v/>
      </c>
      <c r="F24" s="44" t="n"/>
      <c r="G24" s="64">
        <f>G23-F24</f>
        <v/>
      </c>
      <c r="H24" s="44" t="n"/>
      <c r="I24" s="64">
        <f>I23-H24</f>
        <v/>
      </c>
      <c r="J24" s="44" t="n"/>
      <c r="K24" s="64">
        <f>K23-J24</f>
        <v/>
      </c>
      <c r="L24" s="44" t="n"/>
    </row>
    <row r="25" ht="18" customHeight="1" s="24">
      <c r="A25" s="45" t="n"/>
      <c r="B25" s="50" t="n"/>
      <c r="C25" s="47">
        <f>D25+F25+H25+J25</f>
        <v/>
      </c>
      <c r="D25" s="48" t="n"/>
      <c r="E25" s="62">
        <f>E24-D25</f>
        <v/>
      </c>
      <c r="F25" s="48" t="n"/>
      <c r="G25" s="63">
        <f>G24-F25</f>
        <v/>
      </c>
      <c r="H25" s="48" t="n"/>
      <c r="I25" s="63">
        <f>I24-H25</f>
        <v/>
      </c>
      <c r="J25" s="48" t="n"/>
      <c r="K25" s="63">
        <f>K24-J25</f>
        <v/>
      </c>
      <c r="L25" s="50" t="n"/>
    </row>
    <row r="26" ht="18" customHeight="1" s="24">
      <c r="A26" s="57" t="n"/>
      <c r="B26" s="44" t="n"/>
      <c r="C26" s="59">
        <f>D26+F26+H26+J26</f>
        <v/>
      </c>
      <c r="D26" s="44" t="n"/>
      <c r="E26" s="64">
        <f>E25-D26</f>
        <v/>
      </c>
      <c r="F26" s="44" t="n"/>
      <c r="G26" s="64">
        <f>G25-F26</f>
        <v/>
      </c>
      <c r="H26" s="44" t="n"/>
      <c r="I26" s="64">
        <f>I25-H26</f>
        <v/>
      </c>
      <c r="J26" s="44" t="n"/>
      <c r="K26" s="64">
        <f>K25-J26</f>
        <v/>
      </c>
      <c r="L26" s="44" t="n"/>
    </row>
    <row r="27" ht="18" customHeight="1" s="24">
      <c r="A27" s="45" t="n"/>
      <c r="B27" s="50" t="n"/>
      <c r="C27" s="47">
        <f>D27+F27+H27+J27</f>
        <v/>
      </c>
      <c r="D27" s="48" t="n"/>
      <c r="E27" s="62">
        <f>E26-D27</f>
        <v/>
      </c>
      <c r="F27" s="48" t="n"/>
      <c r="G27" s="63">
        <f>G26-F27</f>
        <v/>
      </c>
      <c r="H27" s="48" t="n"/>
      <c r="I27" s="63">
        <f>I26-H27</f>
        <v/>
      </c>
      <c r="J27" s="48" t="n"/>
      <c r="K27" s="63">
        <f>K26-J27</f>
        <v/>
      </c>
      <c r="L27" s="50" t="n"/>
    </row>
    <row r="28" ht="18" customHeight="1" s="24">
      <c r="A28" s="57" t="inlineStr">
        <is>
          <t>FOOD</t>
        </is>
      </c>
      <c r="B28" s="58" t="n"/>
      <c r="C28" s="44" t="n"/>
      <c r="D28" s="44" t="n"/>
      <c r="E28" s="44" t="n"/>
      <c r="F28" s="44" t="n"/>
      <c r="G28" s="44" t="n"/>
      <c r="H28" s="44" t="n"/>
      <c r="I28" s="44" t="n"/>
      <c r="J28" s="44" t="n"/>
      <c r="K28" s="44" t="n"/>
      <c r="L28" s="44" t="n"/>
    </row>
    <row r="29" ht="18" customHeight="1" s="24">
      <c r="A29" s="45" t="n"/>
      <c r="B29" s="46" t="inlineStr">
        <is>
          <t>GROCERY</t>
        </is>
      </c>
      <c r="C29" s="47">
        <f>D29+F29+H29+J29</f>
        <v/>
      </c>
      <c r="D29" s="48" t="n"/>
      <c r="E29" s="62">
        <f>E27-D29</f>
        <v/>
      </c>
      <c r="F29" s="48" t="n"/>
      <c r="G29" s="63">
        <f>G27-F29</f>
        <v/>
      </c>
      <c r="H29" s="48" t="n"/>
      <c r="I29" s="63">
        <f>I27-H29</f>
        <v/>
      </c>
      <c r="J29" s="48" t="n"/>
      <c r="K29" s="63">
        <f>K27-J29</f>
        <v/>
      </c>
      <c r="L29" s="50" t="n"/>
    </row>
    <row r="30" ht="18" customHeight="1" s="24">
      <c r="A30" s="57" t="n"/>
      <c r="B30" s="58" t="inlineStr">
        <is>
          <t>RESTAURANTS</t>
        </is>
      </c>
      <c r="C30" s="59">
        <f>D30+F30+H30+J30</f>
        <v/>
      </c>
      <c r="D30" s="44" t="n"/>
      <c r="E30" s="64">
        <f>E29-D30</f>
        <v/>
      </c>
      <c r="F30" s="44" t="n"/>
      <c r="G30" s="64">
        <f>G29-F30</f>
        <v/>
      </c>
      <c r="H30" s="44" t="n"/>
      <c r="I30" s="64">
        <f>I29-H30</f>
        <v/>
      </c>
      <c r="J30" s="44" t="n"/>
      <c r="K30" s="64">
        <f>K29-J30</f>
        <v/>
      </c>
      <c r="L30" s="44" t="n"/>
    </row>
    <row r="31" ht="18" customHeight="1" s="24">
      <c r="A31" s="45" t="inlineStr">
        <is>
          <t>TRANSPORTATION</t>
        </is>
      </c>
      <c r="B31" s="46" t="n"/>
      <c r="C31" s="65" t="n"/>
      <c r="D31" s="48" t="n"/>
      <c r="E31" s="66" t="n"/>
      <c r="F31" s="48" t="n"/>
      <c r="G31" s="65" t="n"/>
      <c r="H31" s="48" t="n"/>
      <c r="I31" s="65" t="n"/>
      <c r="J31" s="48" t="n"/>
      <c r="K31" s="65" t="n"/>
      <c r="L31" s="50" t="n"/>
    </row>
    <row r="32" ht="18" customHeight="1" s="24">
      <c r="A32" s="57" t="n"/>
      <c r="B32" s="58" t="inlineStr">
        <is>
          <t xml:space="preserve">CAR PAYMENT </t>
        </is>
      </c>
      <c r="C32" s="59">
        <f>D32+F32+H32+J32</f>
        <v/>
      </c>
      <c r="D32" s="44" t="n"/>
      <c r="E32" s="64">
        <f>E30-D32</f>
        <v/>
      </c>
      <c r="F32" s="44" t="n"/>
      <c r="G32" s="64">
        <f>G30-F32</f>
        <v/>
      </c>
      <c r="H32" s="44" t="n"/>
      <c r="I32" s="64">
        <f>I30-H32</f>
        <v/>
      </c>
      <c r="J32" s="44" t="n"/>
      <c r="K32" s="64">
        <f>K30-J32</f>
        <v/>
      </c>
      <c r="L32" s="44" t="n"/>
    </row>
    <row r="33" ht="18" customHeight="1" s="24">
      <c r="A33" s="45" t="n"/>
      <c r="B33" s="46" t="inlineStr">
        <is>
          <t>GAS</t>
        </is>
      </c>
      <c r="C33" s="47">
        <f>D33+F33+H33+J33</f>
        <v/>
      </c>
      <c r="D33" s="48" t="n"/>
      <c r="E33" s="62">
        <f>E32-D33</f>
        <v/>
      </c>
      <c r="F33" s="48" t="n"/>
      <c r="G33" s="63">
        <f>G32-F33</f>
        <v/>
      </c>
      <c r="H33" s="48" t="n"/>
      <c r="I33" s="63">
        <f>I32-H33</f>
        <v/>
      </c>
      <c r="J33" s="48" t="n"/>
      <c r="K33" s="63">
        <f>K32-J33</f>
        <v/>
      </c>
      <c r="L33" s="50" t="n"/>
    </row>
    <row r="34" ht="18" customHeight="1" s="24">
      <c r="A34" s="57" t="n"/>
      <c r="B34" s="58" t="inlineStr">
        <is>
          <t>OIL</t>
        </is>
      </c>
      <c r="C34" s="59">
        <f>D34+F34+H34+J34</f>
        <v/>
      </c>
      <c r="D34" s="44" t="n"/>
      <c r="E34" s="64">
        <f>E33-D34</f>
        <v/>
      </c>
      <c r="F34" s="44" t="n"/>
      <c r="G34" s="64">
        <f>G33-F34</f>
        <v/>
      </c>
      <c r="H34" s="44" t="n"/>
      <c r="I34" s="64">
        <f>I33-H34</f>
        <v/>
      </c>
      <c r="J34" s="44" t="n"/>
      <c r="K34" s="64">
        <f>K33-J34</f>
        <v/>
      </c>
      <c r="L34" s="44" t="n"/>
    </row>
    <row r="35" ht="18" customHeight="1" s="24">
      <c r="A35" s="45" t="n"/>
      <c r="B35" s="46" t="inlineStr">
        <is>
          <t xml:space="preserve">FLIGHTS/ Hotels/TRAVEL (NL) </t>
        </is>
      </c>
      <c r="C35" s="47">
        <f>D35+F35+H35+J35</f>
        <v/>
      </c>
      <c r="D35" s="48" t="n"/>
      <c r="E35" s="62">
        <f>E34-D35</f>
        <v/>
      </c>
      <c r="F35" s="48" t="n"/>
      <c r="G35" s="63">
        <f>G34-F35</f>
        <v/>
      </c>
      <c r="H35" s="48" t="n"/>
      <c r="I35" s="63">
        <f>I34-H35</f>
        <v/>
      </c>
      <c r="J35" s="48" t="n"/>
      <c r="K35" s="63">
        <f>K34-J35</f>
        <v/>
      </c>
      <c r="L35" s="50" t="n"/>
    </row>
    <row r="36" ht="18" customHeight="1" s="24">
      <c r="A36" s="57" t="n"/>
      <c r="B36" s="58" t="inlineStr">
        <is>
          <t>REPAIRS / TIRES</t>
        </is>
      </c>
      <c r="C36" s="59">
        <f>D36+F36+H36+J36</f>
        <v/>
      </c>
      <c r="D36" s="44" t="n"/>
      <c r="E36" s="64">
        <f>E35-D36</f>
        <v/>
      </c>
      <c r="F36" s="44" t="n"/>
      <c r="G36" s="64">
        <f>G35-F36</f>
        <v/>
      </c>
      <c r="H36" s="44" t="n"/>
      <c r="I36" s="64">
        <f>I35-H36</f>
        <v/>
      </c>
      <c r="J36" s="44" t="n"/>
      <c r="K36" s="64">
        <f>K35-J36</f>
        <v/>
      </c>
      <c r="L36" s="44" t="n"/>
    </row>
    <row r="37" ht="18" customHeight="1" s="24">
      <c r="A37" s="45" t="n"/>
      <c r="B37" s="46" t="inlineStr">
        <is>
          <t>TAXI / TRAIN / TTC</t>
        </is>
      </c>
      <c r="C37" s="47">
        <f>D37+F37+H37+J37</f>
        <v/>
      </c>
      <c r="D37" s="48" t="n"/>
      <c r="E37" s="62">
        <f>E36-D37</f>
        <v/>
      </c>
      <c r="F37" s="48" t="n"/>
      <c r="G37" s="63">
        <f>G36-F37</f>
        <v/>
      </c>
      <c r="H37" s="48" t="n"/>
      <c r="I37" s="63">
        <f>I36-H37</f>
        <v/>
      </c>
      <c r="J37" s="48" t="n"/>
      <c r="K37" s="63">
        <f>K36-J37</f>
        <v/>
      </c>
      <c r="L37" s="50" t="n"/>
    </row>
    <row r="38" ht="18" customHeight="1" s="24">
      <c r="A38" s="57" t="n"/>
      <c r="B38" s="58" t="inlineStr">
        <is>
          <t>CAR INSURANCE (16th)</t>
        </is>
      </c>
      <c r="C38" s="59">
        <f>D38+F38+H38+J38</f>
        <v/>
      </c>
      <c r="D38" s="44" t="n"/>
      <c r="E38" s="64">
        <f>E37-D38</f>
        <v/>
      </c>
      <c r="F38" s="44" t="n"/>
      <c r="G38" s="64">
        <f>G37-F38</f>
        <v/>
      </c>
      <c r="H38" s="44" t="n"/>
      <c r="I38" s="64">
        <f>I37-H38</f>
        <v/>
      </c>
      <c r="J38" s="44" t="n"/>
      <c r="K38" s="64">
        <f>K37-J38</f>
        <v/>
      </c>
      <c r="L38" s="44" t="n"/>
    </row>
    <row r="39" ht="18" customHeight="1" s="24">
      <c r="A39" s="45" t="n"/>
      <c r="B39" s="46" t="inlineStr">
        <is>
          <t>LICENSE AND TAXES</t>
        </is>
      </c>
      <c r="C39" s="47">
        <f>D39+F39+H39+J39</f>
        <v/>
      </c>
      <c r="D39" s="48" t="n"/>
      <c r="E39" s="62">
        <f>E38-D39</f>
        <v/>
      </c>
      <c r="F39" s="48" t="n"/>
      <c r="G39" s="63">
        <f>G38-F39</f>
        <v/>
      </c>
      <c r="H39" s="48" t="n"/>
      <c r="I39" s="63">
        <f>I38-H39</f>
        <v/>
      </c>
      <c r="J39" s="48" t="n"/>
      <c r="K39" s="63">
        <f>K38-J39</f>
        <v/>
      </c>
      <c r="L39" s="50" t="n"/>
    </row>
    <row r="40" ht="18" customHeight="1" s="24">
      <c r="A40" s="57" t="n"/>
      <c r="B40" s="58" t="inlineStr">
        <is>
          <t>407 / CAA</t>
        </is>
      </c>
      <c r="C40" s="59">
        <f>D40+F40+H40+J40</f>
        <v/>
      </c>
      <c r="D40" s="44" t="n"/>
      <c r="E40" s="64">
        <f>E39-D40</f>
        <v/>
      </c>
      <c r="F40" s="44" t="n"/>
      <c r="G40" s="64">
        <f>G39-F40</f>
        <v/>
      </c>
      <c r="H40" s="44" t="n"/>
      <c r="I40" s="64">
        <f>I39-H40</f>
        <v/>
      </c>
      <c r="J40" s="44" t="n"/>
      <c r="K40" s="64">
        <f>K39-J40</f>
        <v/>
      </c>
      <c r="L40" s="44" t="n"/>
    </row>
    <row r="41" ht="18" customHeight="1" s="24">
      <c r="A41" s="45" t="inlineStr">
        <is>
          <t>*CLOTHING</t>
        </is>
      </c>
      <c r="B41" s="46" t="n"/>
      <c r="C41" s="65" t="n"/>
      <c r="D41" s="48" t="n"/>
      <c r="E41" s="66" t="n"/>
      <c r="F41" s="48" t="n"/>
      <c r="G41" s="65" t="n"/>
      <c r="H41" s="48" t="n"/>
      <c r="I41" s="65" t="n"/>
      <c r="J41" s="48" t="n"/>
      <c r="K41" s="65" t="n"/>
      <c r="L41" s="50" t="n"/>
    </row>
    <row r="42" ht="18" customHeight="1" s="24">
      <c r="A42" s="57" t="n"/>
      <c r="B42" s="58" t="inlineStr">
        <is>
          <t>CLOTHING + ACCESSORIES</t>
        </is>
      </c>
      <c r="C42" s="59">
        <f>D42+F42+H42+J42</f>
        <v/>
      </c>
      <c r="D42" s="44" t="n"/>
      <c r="E42" s="64">
        <f>E40-D42</f>
        <v/>
      </c>
      <c r="F42" s="44" t="n"/>
      <c r="G42" s="64">
        <f>G40-F42</f>
        <v/>
      </c>
      <c r="H42" s="44" t="n"/>
      <c r="I42" s="64">
        <f>I40-H42</f>
        <v/>
      </c>
      <c r="J42" s="44" t="n"/>
      <c r="K42" s="64">
        <f>K40-J42</f>
        <v/>
      </c>
      <c r="L42" s="44" t="n"/>
    </row>
    <row r="43" ht="18" customHeight="1" s="24">
      <c r="A43" s="45" t="n"/>
      <c r="B43" s="46" t="inlineStr">
        <is>
          <t>CLEANING/LAUNDRY</t>
        </is>
      </c>
      <c r="C43" s="47">
        <f>D43+F43+H43+J43</f>
        <v/>
      </c>
      <c r="D43" s="48" t="n"/>
      <c r="E43" s="62">
        <f>E42-D43</f>
        <v/>
      </c>
      <c r="F43" s="48" t="n"/>
      <c r="G43" s="63">
        <f>G42-F43</f>
        <v/>
      </c>
      <c r="H43" s="48" t="n"/>
      <c r="I43" s="63">
        <f>I42-H43</f>
        <v/>
      </c>
      <c r="J43" s="48" t="n"/>
      <c r="K43" s="63">
        <f>K42-J43</f>
        <v/>
      </c>
      <c r="L43" s="50" t="n"/>
    </row>
    <row r="44" ht="18" customHeight="1" s="24">
      <c r="A44" s="57" t="inlineStr">
        <is>
          <t>MED/HEALTH/BEAUTY</t>
        </is>
      </c>
      <c r="B44" s="58" t="n"/>
      <c r="C44" s="59">
        <f>D44+F44+H44+J44</f>
        <v/>
      </c>
      <c r="D44" s="44" t="n"/>
      <c r="E44" s="44" t="n"/>
      <c r="F44" s="44" t="n"/>
      <c r="G44" s="44" t="n"/>
      <c r="H44" s="44" t="n"/>
      <c r="I44" s="44" t="n"/>
      <c r="J44" s="44" t="n"/>
      <c r="K44" s="44" t="n"/>
      <c r="L44" s="44" t="n"/>
    </row>
    <row r="45" ht="18" customHeight="1" s="24">
      <c r="A45" s="45" t="n"/>
      <c r="B45" s="46" t="inlineStr">
        <is>
          <t>HEALTH INSURANCE</t>
        </is>
      </c>
      <c r="C45" s="65" t="n"/>
      <c r="D45" s="48" t="n"/>
      <c r="E45" s="62">
        <f>E43-D45</f>
        <v/>
      </c>
      <c r="F45" s="48" t="n"/>
      <c r="G45" s="63">
        <f>G43-F45</f>
        <v/>
      </c>
      <c r="H45" s="48" t="n"/>
      <c r="I45" s="63">
        <f>I43-H45</f>
        <v/>
      </c>
      <c r="J45" s="48" t="n"/>
      <c r="K45" s="63">
        <f>K43-J45</f>
        <v/>
      </c>
      <c r="L45" s="50" t="n"/>
    </row>
    <row r="46" ht="18" customHeight="1" s="24">
      <c r="A46" s="57" t="n"/>
      <c r="B46" s="58" t="inlineStr">
        <is>
          <t>DOCTOR / DENTIST / OPTOMETRIST</t>
        </is>
      </c>
      <c r="C46" s="59">
        <f>D46+F46+H46+J46</f>
        <v/>
      </c>
      <c r="D46" s="44" t="n"/>
      <c r="E46" s="64">
        <f>E45-D46</f>
        <v/>
      </c>
      <c r="F46" s="44" t="n"/>
      <c r="G46" s="64">
        <f>G45-F46</f>
        <v/>
      </c>
      <c r="H46" s="44" t="n"/>
      <c r="I46" s="64">
        <f>I45-H46</f>
        <v/>
      </c>
      <c r="J46" s="44" t="n"/>
      <c r="K46" s="64">
        <f>K45-J46</f>
        <v/>
      </c>
      <c r="L46" s="44" t="n"/>
    </row>
    <row r="47" ht="18" customHeight="1" s="24">
      <c r="A47" s="45" t="n"/>
      <c r="B47" s="46" t="inlineStr">
        <is>
          <t>HAIR / MAKEUP / TOILETRIES</t>
        </is>
      </c>
      <c r="C47" s="47">
        <f>D47+F47+H47+J47</f>
        <v/>
      </c>
      <c r="D47" s="48" t="n"/>
      <c r="E47" s="62">
        <f>E46-D47</f>
        <v/>
      </c>
      <c r="F47" s="48" t="n"/>
      <c r="G47" s="63">
        <f>G46-F47</f>
        <v/>
      </c>
      <c r="H47" s="48" t="n"/>
      <c r="I47" s="63">
        <f>I46-H47</f>
        <v/>
      </c>
      <c r="J47" s="48" t="n"/>
      <c r="K47" s="63">
        <f>K46-J47</f>
        <v/>
      </c>
      <c r="L47" s="50" t="n"/>
    </row>
    <row r="48" ht="18" customHeight="1" s="24">
      <c r="A48" s="57" t="n"/>
      <c r="B48" s="58" t="inlineStr">
        <is>
          <t>MEDICAL / PRESCRIPTIONS</t>
        </is>
      </c>
      <c r="C48" s="59">
        <f>D48+F48+H48+J48</f>
        <v/>
      </c>
      <c r="D48" s="44" t="n"/>
      <c r="E48" s="64">
        <f>E47-D48</f>
        <v/>
      </c>
      <c r="F48" s="44" t="n"/>
      <c r="G48" s="64">
        <f>G47-F48</f>
        <v/>
      </c>
      <c r="H48" s="44" t="n"/>
      <c r="I48" s="64">
        <f>I47-H48</f>
        <v/>
      </c>
      <c r="J48" s="44" t="n"/>
      <c r="K48" s="64">
        <f>K47-J48</f>
        <v/>
      </c>
      <c r="L48" s="44" t="n"/>
    </row>
    <row r="49" ht="18" customHeight="1" s="24">
      <c r="A49" s="45" t="n"/>
      <c r="B49" s="46" t="n"/>
      <c r="C49" s="47">
        <f>D49+F49+H49+J49</f>
        <v/>
      </c>
      <c r="D49" s="48" t="n"/>
      <c r="E49" s="62">
        <f>E48-D49</f>
        <v/>
      </c>
      <c r="F49" s="48" t="n"/>
      <c r="G49" s="63">
        <f>G48-F49</f>
        <v/>
      </c>
      <c r="H49" s="48" t="n"/>
      <c r="I49" s="63">
        <f>I48-H49</f>
        <v/>
      </c>
      <c r="J49" s="48" t="n"/>
      <c r="K49" s="63">
        <f>K48-J49</f>
        <v/>
      </c>
      <c r="L49" s="50" t="n"/>
    </row>
    <row r="50" ht="18" customHeight="1" s="24">
      <c r="A50" s="57" t="inlineStr">
        <is>
          <t>PERSONAL/BUSINESS</t>
        </is>
      </c>
      <c r="B50" s="58" t="n"/>
      <c r="C50" s="44" t="n"/>
      <c r="D50" s="44" t="n"/>
      <c r="E50" s="44" t="n"/>
      <c r="F50" s="44" t="n"/>
      <c r="G50" s="44" t="n"/>
      <c r="H50" s="44" t="n"/>
      <c r="I50" s="44" t="n"/>
      <c r="J50" s="44" t="n"/>
      <c r="K50" s="44" t="n"/>
      <c r="L50" s="44" t="n"/>
    </row>
    <row r="51" ht="18" customHeight="1" s="24">
      <c r="A51" s="45" t="n"/>
      <c r="B51" s="46" t="inlineStr">
        <is>
          <t>PAYPAL</t>
        </is>
      </c>
      <c r="C51" s="47">
        <f>D51+F51+H51+J51</f>
        <v/>
      </c>
      <c r="D51" s="48" t="n"/>
      <c r="E51" s="62">
        <f>E49-D51</f>
        <v/>
      </c>
      <c r="F51" s="48" t="n"/>
      <c r="G51" s="63">
        <f>G49-F51</f>
        <v/>
      </c>
      <c r="H51" s="48" t="n"/>
      <c r="I51" s="63">
        <f>I49-H51</f>
        <v/>
      </c>
      <c r="J51" s="48" t="n"/>
      <c r="K51" s="63">
        <f>K49-J51</f>
        <v/>
      </c>
      <c r="L51" s="50" t="n"/>
    </row>
    <row r="52" ht="18" customHeight="1" s="24">
      <c r="A52" s="57" t="n"/>
      <c r="B52" s="58" t="inlineStr">
        <is>
          <t>MAILCHIMP 8th</t>
        </is>
      </c>
      <c r="C52" s="59">
        <f>D52+F52+H52+J52</f>
        <v/>
      </c>
      <c r="D52" s="44" t="n"/>
      <c r="E52" s="64">
        <f>E51-D52</f>
        <v/>
      </c>
      <c r="F52" s="44" t="n"/>
      <c r="G52" s="64">
        <f>G51-F52</f>
        <v/>
      </c>
      <c r="H52" s="44" t="n"/>
      <c r="I52" s="64">
        <f>I51-H52</f>
        <v/>
      </c>
      <c r="J52" s="44" t="n"/>
      <c r="K52" s="64">
        <f>K51-J52</f>
        <v/>
      </c>
      <c r="L52" s="44" t="n"/>
    </row>
    <row r="53" ht="18" customHeight="1" s="24">
      <c r="A53" s="45" t="n"/>
      <c r="B53" s="46" t="inlineStr">
        <is>
          <t>Microsoft Office 24th</t>
        </is>
      </c>
      <c r="C53" s="47">
        <f>D53+F53+H53+J53</f>
        <v/>
      </c>
      <c r="D53" s="48" t="n"/>
      <c r="E53" s="62">
        <f>E52-D53</f>
        <v/>
      </c>
      <c r="F53" s="48" t="n"/>
      <c r="G53" s="63">
        <f>G52-F53</f>
        <v/>
      </c>
      <c r="H53" s="48" t="n"/>
      <c r="I53" s="63">
        <f>I52-H53</f>
        <v/>
      </c>
      <c r="J53" s="48" t="n"/>
      <c r="K53" s="63">
        <f>K52-J53</f>
        <v/>
      </c>
      <c r="L53" s="50" t="n"/>
    </row>
    <row r="54" ht="18" customHeight="1" s="24">
      <c r="A54" s="57" t="n"/>
      <c r="B54" s="58" t="inlineStr">
        <is>
          <t>Amazon</t>
        </is>
      </c>
      <c r="C54" s="59">
        <f>D54+F54+H54+J54</f>
        <v/>
      </c>
      <c r="D54" s="44" t="n"/>
      <c r="E54" s="64">
        <f>E53-D54</f>
        <v/>
      </c>
      <c r="F54" s="44" t="n"/>
      <c r="G54" s="64">
        <f>G53-F54</f>
        <v/>
      </c>
      <c r="H54" s="44" t="n"/>
      <c r="I54" s="64">
        <f>I53-H54</f>
        <v/>
      </c>
      <c r="J54" s="44" t="n"/>
      <c r="K54" s="64">
        <f>K53-J54</f>
        <v/>
      </c>
      <c r="L54" s="44" t="n"/>
    </row>
    <row r="55" ht="18" customHeight="1" s="24">
      <c r="A55" s="45" t="n"/>
      <c r="B55" s="46" t="inlineStr">
        <is>
          <t xml:space="preserve">APPLE MUSIC 14th </t>
        </is>
      </c>
      <c r="C55" s="47">
        <f>D55+F55+H55+J55</f>
        <v/>
      </c>
      <c r="D55" s="48" t="n"/>
      <c r="E55" s="62">
        <f>E54-D55</f>
        <v/>
      </c>
      <c r="F55" s="48" t="n"/>
      <c r="G55" s="63">
        <f>G54-F55</f>
        <v/>
      </c>
      <c r="H55" s="48" t="n"/>
      <c r="I55" s="63">
        <f>I54-H55</f>
        <v/>
      </c>
      <c r="J55" s="48" t="n"/>
      <c r="K55" s="63">
        <f>K54-J55</f>
        <v/>
      </c>
      <c r="L55" s="50" t="n"/>
    </row>
    <row r="56" ht="18" customHeight="1" s="24">
      <c r="A56" s="57" t="n"/>
      <c r="B56" s="58" t="inlineStr">
        <is>
          <t xml:space="preserve">GOOGLE APPS 28th </t>
        </is>
      </c>
      <c r="C56" s="59">
        <f>D56+F56+H56+J56</f>
        <v/>
      </c>
      <c r="D56" s="44" t="n"/>
      <c r="E56" s="64">
        <f>E55-D56</f>
        <v/>
      </c>
      <c r="F56" s="44" t="n"/>
      <c r="G56" s="64">
        <f>G55-F56</f>
        <v/>
      </c>
      <c r="H56" s="44" t="n"/>
      <c r="I56" s="64">
        <f>I55-H56</f>
        <v/>
      </c>
      <c r="J56" s="44" t="n"/>
      <c r="K56" s="64">
        <f>K55-J56</f>
        <v/>
      </c>
      <c r="L56" s="44" t="n"/>
    </row>
    <row r="57" ht="18" customHeight="1" s="24">
      <c r="A57" s="45" t="n"/>
      <c r="B57" s="46" t="inlineStr">
        <is>
          <t>GIFTS</t>
        </is>
      </c>
      <c r="C57" s="47">
        <f>D57+F57+H57+J57</f>
        <v/>
      </c>
      <c r="D57" s="48" t="n"/>
      <c r="E57" s="62">
        <f>E56-D57</f>
        <v/>
      </c>
      <c r="F57" s="48" t="n"/>
      <c r="G57" s="63">
        <f>G56-F57</f>
        <v/>
      </c>
      <c r="H57" s="48" t="n"/>
      <c r="I57" s="63">
        <f>I56-H57</f>
        <v/>
      </c>
      <c r="J57" s="48" t="n"/>
      <c r="K57" s="63">
        <f>K56-J57</f>
        <v/>
      </c>
      <c r="L57" s="50" t="n"/>
    </row>
    <row r="58" ht="18" customHeight="1" s="24">
      <c r="A58" s="57" t="n"/>
      <c r="B58" s="58" t="inlineStr">
        <is>
          <t xml:space="preserve">Design &amp; Recording </t>
        </is>
      </c>
      <c r="C58" s="59">
        <f>D58+F58+H58+J58</f>
        <v/>
      </c>
      <c r="D58" s="44" t="n"/>
      <c r="E58" s="64">
        <f>E57-D58</f>
        <v/>
      </c>
      <c r="F58" s="44" t="n"/>
      <c r="G58" s="64">
        <f>G57-F58</f>
        <v/>
      </c>
      <c r="H58" s="44" t="n"/>
      <c r="I58" s="64">
        <f>I57-H58</f>
        <v/>
      </c>
      <c r="J58" s="44" t="n"/>
      <c r="K58" s="64">
        <f>K57-J58</f>
        <v/>
      </c>
      <c r="L58" s="44" t="n"/>
    </row>
    <row r="59" ht="18" customHeight="1" s="24">
      <c r="A59" s="45" t="inlineStr">
        <is>
          <t>BLOW</t>
        </is>
      </c>
      <c r="B59" s="46" t="n"/>
      <c r="C59" s="65" t="n"/>
      <c r="D59" s="48" t="n"/>
      <c r="E59" s="66" t="n"/>
      <c r="F59" s="48" t="n"/>
      <c r="G59" s="65" t="n"/>
      <c r="H59" s="48" t="n"/>
      <c r="I59" s="65" t="n"/>
      <c r="J59" s="48" t="n"/>
      <c r="K59" s="65" t="n"/>
      <c r="L59" s="50" t="n"/>
    </row>
    <row r="60" ht="18" customHeight="1" s="24">
      <c r="A60" s="57" t="n"/>
      <c r="B60" s="58" t="inlineStr">
        <is>
          <t>PLAY</t>
        </is>
      </c>
      <c r="C60" s="59">
        <f>D60+F60+H60+J60</f>
        <v/>
      </c>
      <c r="D60" s="44" t="n"/>
      <c r="E60" s="64">
        <f>E58-D60</f>
        <v/>
      </c>
      <c r="F60" s="44" t="n"/>
      <c r="G60" s="64">
        <f>G58-F60</f>
        <v/>
      </c>
      <c r="H60" s="44" t="n"/>
      <c r="I60" s="64">
        <f>I58-H60</f>
        <v/>
      </c>
      <c r="J60" s="44" t="n"/>
      <c r="K60" s="64">
        <f>K58-J60</f>
        <v/>
      </c>
      <c r="L60" s="44" t="n"/>
    </row>
    <row r="61" ht="18" customHeight="1" s="24">
      <c r="A61" s="45" t="inlineStr">
        <is>
          <t>RECREATION</t>
        </is>
      </c>
      <c r="B61" s="46" t="n"/>
      <c r="C61" s="65" t="n"/>
      <c r="D61" s="48" t="n"/>
      <c r="E61" s="66" t="n"/>
      <c r="F61" s="48" t="n"/>
      <c r="G61" s="65" t="n"/>
      <c r="H61" s="48" t="n"/>
      <c r="I61" s="65" t="n"/>
      <c r="J61" s="48" t="n"/>
      <c r="K61" s="65" t="n"/>
      <c r="L61" s="50" t="n"/>
    </row>
    <row r="62" ht="18" customHeight="1" s="24">
      <c r="A62" s="57" t="n"/>
      <c r="B62" s="58" t="inlineStr">
        <is>
          <t>ENTERTAINMENT</t>
        </is>
      </c>
      <c r="C62" s="59">
        <f>D62+F62+H62+J62</f>
        <v/>
      </c>
      <c r="D62" s="44" t="n"/>
      <c r="E62" s="64">
        <f>E60-D62</f>
        <v/>
      </c>
      <c r="F62" s="44" t="n"/>
      <c r="G62" s="64">
        <f>G60-F62</f>
        <v/>
      </c>
      <c r="H62" s="44" t="n"/>
      <c r="I62" s="64">
        <f>I60-H62</f>
        <v/>
      </c>
      <c r="J62" s="44" t="n"/>
      <c r="K62" s="64">
        <f>K60-J62</f>
        <v/>
      </c>
      <c r="L62" s="44" t="n"/>
    </row>
    <row r="63" ht="18" customHeight="1" s="24">
      <c r="A63" s="45" t="n"/>
      <c r="B63" s="46" t="inlineStr">
        <is>
          <t>GYM / FITNESS</t>
        </is>
      </c>
      <c r="C63" s="47" t="n"/>
      <c r="D63" s="48" t="n"/>
      <c r="E63" s="62">
        <f>E62-D63</f>
        <v/>
      </c>
      <c r="F63" s="48" t="n"/>
      <c r="G63" s="63">
        <f>G62-F63</f>
        <v/>
      </c>
      <c r="H63" s="48" t="n"/>
      <c r="I63" s="63">
        <f>I62-H63</f>
        <v/>
      </c>
      <c r="J63" s="48" t="n"/>
      <c r="K63" s="63">
        <f>K62-J63</f>
        <v/>
      </c>
      <c r="L63" s="50" t="n"/>
    </row>
    <row r="64" ht="18" customHeight="1" s="24">
      <c r="A64" s="57" t="n"/>
      <c r="B64" s="58" t="inlineStr">
        <is>
          <t>VACATION</t>
        </is>
      </c>
      <c r="C64" s="59">
        <f>D64+F64+H64+J64</f>
        <v/>
      </c>
      <c r="D64" s="44" t="n"/>
      <c r="E64" s="64">
        <f>E63-D64</f>
        <v/>
      </c>
      <c r="F64" s="44" t="n"/>
      <c r="G64" s="64">
        <f>G63-F64</f>
        <v/>
      </c>
      <c r="H64" s="44" t="n"/>
      <c r="I64" s="64">
        <f>I63-H64</f>
        <v/>
      </c>
      <c r="J64" s="44" t="n"/>
      <c r="K64" s="64">
        <f>K63-J64</f>
        <v/>
      </c>
      <c r="L64" s="44" t="n"/>
    </row>
    <row r="65" ht="18" customHeight="1" s="24">
      <c r="A65" s="45" t="inlineStr">
        <is>
          <t>DEBT</t>
        </is>
      </c>
      <c r="B65" s="46" t="n"/>
      <c r="C65" s="65" t="n"/>
      <c r="D65" s="48" t="n"/>
      <c r="E65" s="66" t="n"/>
      <c r="F65" s="48" t="n"/>
      <c r="G65" s="65" t="n"/>
      <c r="H65" s="48" t="n"/>
      <c r="I65" s="65" t="n"/>
      <c r="J65" s="48" t="n"/>
      <c r="K65" s="65" t="n"/>
      <c r="L65" s="50" t="n"/>
    </row>
    <row r="66" ht="18" customHeight="1" s="24">
      <c r="A66" s="57" t="n"/>
      <c r="B66" s="67" t="inlineStr">
        <is>
          <t>CREDIT CARD</t>
        </is>
      </c>
      <c r="C66" s="44">
        <f>D66+F66+H66+J66</f>
        <v/>
      </c>
      <c r="D66" s="44" t="n"/>
      <c r="E66" s="64">
        <f>E64-D66</f>
        <v/>
      </c>
      <c r="F66" s="44" t="n"/>
      <c r="G66" s="64">
        <f>G64-F66</f>
        <v/>
      </c>
      <c r="H66" s="44" t="n"/>
      <c r="I66" s="64">
        <f>I64-H66</f>
        <v/>
      </c>
      <c r="J66" s="44" t="n"/>
      <c r="K66" s="64">
        <f>K64-J66</f>
        <v/>
      </c>
      <c r="L66" s="44" t="n"/>
    </row>
    <row r="67" ht="18" customHeight="1" s="24">
      <c r="A67" s="45" t="n"/>
      <c r="B67" s="68" t="inlineStr">
        <is>
          <t>CREDIT CARD</t>
        </is>
      </c>
      <c r="C67" s="65">
        <f>D67+F67+H67+J67</f>
        <v/>
      </c>
      <c r="D67" s="48" t="n"/>
      <c r="E67" s="62">
        <f>E66-D67</f>
        <v/>
      </c>
      <c r="F67" s="48" t="n"/>
      <c r="G67" s="63">
        <f>G66-F67</f>
        <v/>
      </c>
      <c r="H67" s="48" t="n"/>
      <c r="I67" s="63">
        <f>I66-H67</f>
        <v/>
      </c>
      <c r="J67" s="48" t="n"/>
      <c r="K67" s="63">
        <f>K66-J67</f>
        <v/>
      </c>
      <c r="L67" s="50" t="n"/>
    </row>
    <row r="68" ht="18" customHeight="1" s="24">
      <c r="A68" s="57" t="n"/>
      <c r="B68" s="67" t="inlineStr">
        <is>
          <t>LINE OF CREDIT</t>
        </is>
      </c>
      <c r="C68" s="44">
        <f>D68+F68+H68+J68</f>
        <v/>
      </c>
      <c r="D68" s="44" t="n"/>
      <c r="E68" s="64">
        <f>E67-D68</f>
        <v/>
      </c>
      <c r="F68" s="44" t="n"/>
      <c r="G68" s="64">
        <f>G67-F68</f>
        <v/>
      </c>
      <c r="H68" s="44" t="n"/>
      <c r="I68" s="64">
        <f>I67-H68</f>
        <v/>
      </c>
      <c r="J68" s="44" t="n"/>
      <c r="K68" s="64">
        <f>K67-J68</f>
        <v/>
      </c>
      <c r="L68" s="44" t="n"/>
    </row>
    <row r="69" ht="18" customHeight="1" s="24">
      <c r="A69" s="45" t="n"/>
      <c r="B69" s="68" t="inlineStr">
        <is>
          <t>HST</t>
        </is>
      </c>
      <c r="C69" s="65">
        <f>D69+F69+H69+J69</f>
        <v/>
      </c>
      <c r="D69" s="48" t="n"/>
      <c r="E69" s="62">
        <f>E68-D69</f>
        <v/>
      </c>
      <c r="F69" s="48" t="n"/>
      <c r="G69" s="63">
        <f>G68-F69</f>
        <v/>
      </c>
      <c r="H69" s="48" t="n"/>
      <c r="I69" s="63">
        <f>I68-H69</f>
        <v/>
      </c>
      <c r="J69" s="48" t="n"/>
      <c r="K69" s="63">
        <f>K68-J69</f>
        <v/>
      </c>
      <c r="L69" s="50" t="n"/>
    </row>
    <row r="70" ht="18" customHeight="1" s="24">
      <c r="A70" s="57" t="n"/>
      <c r="B70" s="67" t="inlineStr">
        <is>
          <t>CRA</t>
        </is>
      </c>
      <c r="C70" s="44">
        <f>D70+F70+H70+J70</f>
        <v/>
      </c>
      <c r="D70" s="44" t="n"/>
      <c r="E70" s="64">
        <f>E69-D70</f>
        <v/>
      </c>
      <c r="F70" s="44" t="n"/>
      <c r="G70" s="64">
        <f>G69-F70</f>
        <v/>
      </c>
      <c r="H70" s="44" t="n"/>
      <c r="I70" s="64">
        <f>I69-H70</f>
        <v/>
      </c>
      <c r="J70" s="44" t="n"/>
      <c r="K70" s="64">
        <f>K69-J70</f>
        <v/>
      </c>
      <c r="L70" s="44" t="n"/>
    </row>
    <row r="71" ht="18" customHeight="1" s="24">
      <c r="A71" s="45" t="n"/>
      <c r="B71" s="68" t="n"/>
      <c r="C71" s="65">
        <f>D71+F71+H71+J71</f>
        <v/>
      </c>
      <c r="D71" s="48" t="n"/>
      <c r="E71" s="62">
        <f>E70-D71</f>
        <v/>
      </c>
      <c r="F71" s="48" t="n"/>
      <c r="G71" s="63">
        <f>G70-F71</f>
        <v/>
      </c>
      <c r="H71" s="48" t="n"/>
      <c r="I71" s="63">
        <f>I70-H71</f>
        <v/>
      </c>
      <c r="J71" s="48" t="n"/>
      <c r="K71" s="63">
        <f>K70-J71</f>
        <v/>
      </c>
      <c r="L71" s="50" t="n"/>
    </row>
    <row r="72" ht="18" customHeight="1" s="24">
      <c r="A72" s="57" t="n"/>
      <c r="B72" s="67" t="n"/>
      <c r="C72" s="44">
        <f>D72+F72+H72+J72</f>
        <v/>
      </c>
      <c r="D72" s="44" t="n"/>
      <c r="E72" s="64">
        <f>E71-D72</f>
        <v/>
      </c>
      <c r="F72" s="44" t="n"/>
      <c r="G72" s="64">
        <f>G71-F72</f>
        <v/>
      </c>
      <c r="H72" s="44" t="n"/>
      <c r="I72" s="64">
        <f>I71-H72</f>
        <v/>
      </c>
      <c r="J72" s="44" t="n"/>
      <c r="K72" s="64">
        <f>K71-J72</f>
        <v/>
      </c>
      <c r="L72" s="44" t="n"/>
    </row>
    <row r="73" ht="18" customHeight="1" s="24">
      <c r="A73" s="45" t="n"/>
      <c r="B73" s="46" t="n"/>
      <c r="C73" s="47">
        <f>D73+F73+H73+J73</f>
        <v/>
      </c>
      <c r="D73" s="48" t="n"/>
      <c r="E73" s="62">
        <f>E72-D73</f>
        <v/>
      </c>
      <c r="F73" s="48" t="n"/>
      <c r="G73" s="63">
        <f>G72-F73</f>
        <v/>
      </c>
      <c r="H73" s="48" t="n"/>
      <c r="I73" s="63">
        <f>I72-H73</f>
        <v/>
      </c>
      <c r="J73" s="48" t="n"/>
      <c r="K73" s="63">
        <f>K72-J73</f>
        <v/>
      </c>
      <c r="L73" s="50" t="n"/>
    </row>
    <row r="74" ht="18" customHeight="1" s="24">
      <c r="A74" s="57" t="n"/>
      <c r="B74" s="58" t="n"/>
      <c r="C74" s="59">
        <f>D74+F74+H74+J74</f>
        <v/>
      </c>
      <c r="D74" s="44" t="n"/>
      <c r="E74" s="64">
        <f>E73-D74</f>
        <v/>
      </c>
      <c r="F74" s="44" t="n"/>
      <c r="G74" s="64">
        <f>G73-F74</f>
        <v/>
      </c>
      <c r="H74" s="44" t="n"/>
      <c r="I74" s="64">
        <f>I73-H74</f>
        <v/>
      </c>
      <c r="J74" s="44" t="n"/>
      <c r="K74" s="64">
        <f>K73-J74</f>
        <v/>
      </c>
      <c r="L74" s="44" t="n"/>
    </row>
    <row r="75" ht="18" customHeight="1" s="24">
      <c r="A75" s="45" t="n"/>
      <c r="B75" s="46" t="n"/>
      <c r="C75" s="47">
        <f>D75+F75+H75+J75</f>
        <v/>
      </c>
      <c r="D75" s="48" t="n"/>
      <c r="E75" s="62">
        <f>E74-D75</f>
        <v/>
      </c>
      <c r="F75" s="48" t="n"/>
      <c r="G75" s="63">
        <f>G74-F75</f>
        <v/>
      </c>
      <c r="H75" s="48" t="n"/>
      <c r="I75" s="63">
        <f>I74-H75</f>
        <v/>
      </c>
      <c r="J75" s="48" t="n"/>
      <c r="K75" s="63">
        <f>K74-J75</f>
        <v/>
      </c>
      <c r="L75" s="50" t="n"/>
    </row>
    <row r="76" ht="18" customHeight="1" s="24">
      <c r="A76" s="57" t="n"/>
      <c r="B76" s="58" t="n"/>
      <c r="C76" s="59">
        <f>D76+F76+H76+J76</f>
        <v/>
      </c>
      <c r="D76" s="44" t="n"/>
      <c r="E76" s="64">
        <f>E75-D76</f>
        <v/>
      </c>
      <c r="F76" s="44" t="n"/>
      <c r="G76" s="64">
        <f>G75-F76</f>
        <v/>
      </c>
      <c r="H76" s="44" t="n"/>
      <c r="I76" s="64">
        <f>I75-H76</f>
        <v/>
      </c>
      <c r="J76" s="44" t="n"/>
      <c r="K76" s="64">
        <f>K75-J76</f>
        <v/>
      </c>
      <c r="L76" s="44" t="n"/>
    </row>
    <row r="77" ht="18" customHeight="1" s="24">
      <c r="A77" s="45" t="inlineStr">
        <is>
          <t>OTHER</t>
        </is>
      </c>
      <c r="B77" s="46" t="inlineStr">
        <is>
          <t>BANK FEES</t>
        </is>
      </c>
      <c r="C77" s="47">
        <f>D77+F77+H77+J77</f>
        <v/>
      </c>
      <c r="D77" s="48" t="n"/>
      <c r="E77" s="62">
        <f>E76-D77</f>
        <v/>
      </c>
      <c r="F77" s="48" t="n"/>
      <c r="G77" s="63">
        <f>G76-F77</f>
        <v/>
      </c>
      <c r="H77" s="48" t="n"/>
      <c r="I77" s="63">
        <f>I76-H77</f>
        <v/>
      </c>
      <c r="J77" s="48" t="n"/>
      <c r="K77" s="63">
        <f>K76-J77</f>
        <v/>
      </c>
      <c r="L77" s="50" t="n"/>
    </row>
    <row r="78" ht="18" customHeight="1" s="24" thickBot="1">
      <c r="A78" s="57" t="n"/>
      <c r="B78" s="58" t="inlineStr">
        <is>
          <t>ACCOUNTANT</t>
        </is>
      </c>
      <c r="C78" s="59">
        <f>D78+F78+H78+J78</f>
        <v/>
      </c>
      <c r="D78" s="44" t="n"/>
      <c r="E78" s="64">
        <f>E77-D78</f>
        <v/>
      </c>
      <c r="F78" s="44" t="n"/>
      <c r="G78" s="64">
        <f>G77-F78</f>
        <v/>
      </c>
      <c r="H78" s="44" t="n"/>
      <c r="I78" s="64">
        <f>I77-H78</f>
        <v/>
      </c>
      <c r="J78" s="44" t="n"/>
      <c r="K78" s="64">
        <f>K77-J78</f>
        <v/>
      </c>
      <c r="L78" s="44" t="n"/>
    </row>
    <row r="79" ht="18" customHeight="1" s="24">
      <c r="A79" s="45" t="n"/>
      <c r="B79" s="69" t="n"/>
      <c r="C79" s="70" t="n"/>
      <c r="D79" s="71" t="n"/>
      <c r="E79" s="71" t="n"/>
      <c r="F79" s="71" t="n"/>
      <c r="G79" s="71" t="n"/>
      <c r="H79" s="71" t="n"/>
      <c r="I79" s="71" t="n"/>
      <c r="J79" s="71" t="n"/>
      <c r="K79" s="71" t="n"/>
      <c r="L79" s="50" t="n"/>
    </row>
    <row r="80" ht="18" customHeight="1" s="24" thickBot="1">
      <c r="A80" s="57" t="inlineStr">
        <is>
          <t>TOTAL</t>
        </is>
      </c>
      <c r="B80" s="72" t="n"/>
      <c r="C80" s="73">
        <f>SUM(C7:C78)</f>
        <v/>
      </c>
      <c r="D80" s="73">
        <f>SUM(D7:D78)</f>
        <v/>
      </c>
      <c r="E80" s="44" t="n"/>
      <c r="F80" s="73">
        <f>SUM(F7:F78)</f>
        <v/>
      </c>
      <c r="G80" s="44" t="n"/>
      <c r="H80" s="73">
        <f>SUM(H7:H78)</f>
        <v/>
      </c>
      <c r="I80" s="44" t="n"/>
      <c r="J80" s="73">
        <f>SUM(J7:J78)</f>
        <v/>
      </c>
      <c r="K80" s="44" t="n"/>
      <c r="L80" s="44" t="n"/>
    </row>
    <row r="81" ht="18" customHeight="1" s="24" thickTop="1">
      <c r="A81" s="45" t="n"/>
      <c r="B81" s="69" t="n"/>
      <c r="C81" s="69" t="n"/>
      <c r="D81" s="50" t="n"/>
      <c r="E81" s="50" t="n"/>
      <c r="F81" s="50" t="n"/>
      <c r="G81" s="50" t="n"/>
      <c r="H81" s="50" t="n"/>
      <c r="I81" s="50" t="n"/>
      <c r="J81" s="50" t="n"/>
      <c r="K81" s="50" t="n"/>
      <c r="L81" s="50" t="n"/>
    </row>
    <row r="82" ht="18" customHeight="1" s="24">
      <c r="A82" s="44" t="n"/>
      <c r="B82" s="44" t="n"/>
      <c r="C82" s="44" t="n"/>
      <c r="D82" s="44" t="n"/>
      <c r="E82" s="44" t="n"/>
      <c r="F82" s="44" t="n"/>
      <c r="G82" s="44" t="n"/>
      <c r="H82" s="44" t="n"/>
      <c r="I82" s="44" t="n"/>
      <c r="J82" s="44" t="n"/>
      <c r="K82" s="44" t="n"/>
      <c r="L82" s="44" t="n"/>
    </row>
    <row r="83" ht="18" customHeight="1" s="24">
      <c r="A83" s="50" t="n"/>
      <c r="B83" s="50" t="inlineStr">
        <is>
          <t xml:space="preserve">The information contained in this guide is for informational purposes only, under the assumption that the user has the basic knowledge of Excel. Always double check all formulas, and consider seeking the advice of a professional before acting on something that the author has published or recommended. Any suggested number of earnings or advice disclosed in this guide may not necessarily reflect your scenario or your geographic location. Users of this guide are advised to do their own due diligence when it comes to making business decisions and all information, products or services that have been provided should be independently verified by your own qualified professionals. By reading or using this guide, you agree that the author and authors company are not responsible for the success or failure or your business decisions relating to any information presented in this guide. </t>
        </is>
      </c>
      <c r="L83" s="50" t="n"/>
    </row>
    <row r="85" ht="20" customHeight="1" s="24">
      <c r="A85" s="74" t="inlineStr">
        <is>
          <t>CURRENCY REFERENCE</t>
        </is>
      </c>
      <c r="B85" s="75" t="inlineStr">
        <is>
          <t>Default: ZAR. Supported: ZAR (R) · NGN (₦) · KES (KSh) · GHS (GH₵) · TZS (TSh) · UGX (USh) · ZMW (ZK) · BWP (P) · NAD (N$) · USD ($)</t>
        </is>
      </c>
    </row>
    <row r="86">
      <c r="A86" s="76" t="inlineStr">
        <is>
          <t>© JO:LA · ROSTER Platform  |  Personal Budget</t>
        </is>
      </c>
    </row>
  </sheetData>
  <mergeCells count="13">
    <mergeCell ref="A4:B4"/>
    <mergeCell ref="H6:I6"/>
    <mergeCell ref="J5:K5"/>
    <mergeCell ref="J6:K6"/>
    <mergeCell ref="C3:C5"/>
    <mergeCell ref="D5:E5"/>
    <mergeCell ref="F5:G5"/>
    <mergeCell ref="B83:K83"/>
    <mergeCell ref="A2:K2"/>
    <mergeCell ref="H5:I5"/>
    <mergeCell ref="F6:G6"/>
    <mergeCell ref="A80:B80"/>
    <mergeCell ref="A1:K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2017-05-24T19:40:54Z</dcterms:created>
  <dcterms:modified xmlns:dcterms="http://purl.org/dc/terms/" xmlns:xsi="http://www.w3.org/2001/XMLSchema-instance" xsi:type="dcterms:W3CDTF">2026-04-15T18:19:02Z</dcterms:modified>
  <cp:lastModifiedBy>Christine O'Connor</cp:lastModifiedBy>
</cp:coreProperties>
</file>